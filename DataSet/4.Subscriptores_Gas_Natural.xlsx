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as_com_003" sheetId="1" r:id="rId4"/>
    <sheet state="visible" name="hojas" sheetId="2" r:id="rId5"/>
  </sheets>
  <definedNames/>
  <calcPr/>
  <extLst>
    <ext uri="GoogleSheetsCustomDataVersion2">
      <go:sheetsCustomData xmlns:go="http://customooxmlschemas.google.com/" r:id="rId6" roundtripDataChecksum="q2w0eHodBEolqbQeIgUu/cw6zKt7ZyLG7ZgrUPXUi+8="/>
    </ext>
  </extLst>
</workbook>
</file>

<file path=xl/sharedStrings.xml><?xml version="1.0" encoding="utf-8"?>
<sst xmlns="http://schemas.openxmlformats.org/spreadsheetml/2006/main" count="185" uniqueCount="93">
  <si>
    <t>departamento</t>
  </si>
  <si>
    <t>codMunicipio</t>
  </si>
  <si>
    <t>municipio</t>
  </si>
  <si>
    <t>totalSubscriptoresGas</t>
  </si>
  <si>
    <t>SANTANDER</t>
  </si>
  <si>
    <t>AGUADA</t>
  </si>
  <si>
    <t>ALBANIA</t>
  </si>
  <si>
    <t>BARBOSA</t>
  </si>
  <si>
    <t>BARRANCABERMEJA</t>
  </si>
  <si>
    <t>BOLIVAR</t>
  </si>
  <si>
    <t>BUCARAMANGA</t>
  </si>
  <si>
    <t>CALIFORNIA</t>
  </si>
  <si>
    <t>CHARTA</t>
  </si>
  <si>
    <t>CHIPATA</t>
  </si>
  <si>
    <t>CURITI</t>
  </si>
  <si>
    <t>EL CARMEN DE CHUCURI</t>
  </si>
  <si>
    <t>EL PENON</t>
  </si>
  <si>
    <t>FLORIAN</t>
  </si>
  <si>
    <t>FLORIDABLANCA</t>
  </si>
  <si>
    <t>GIRON</t>
  </si>
  <si>
    <t>GUAVATA</t>
  </si>
  <si>
    <t>GUEPSA</t>
  </si>
  <si>
    <t>JESUS MARIA</t>
  </si>
  <si>
    <t>LA BELLEZA</t>
  </si>
  <si>
    <t>LA PAZ</t>
  </si>
  <si>
    <t>LEBRIJA</t>
  </si>
  <si>
    <t>PARAMO</t>
  </si>
  <si>
    <t>PIEDECUESTA</t>
  </si>
  <si>
    <t>PINCHOTE</t>
  </si>
  <si>
    <t>PUENTE NACIONAL</t>
  </si>
  <si>
    <t>PUERTO WILCHES</t>
  </si>
  <si>
    <t>RIONEGRO</t>
  </si>
  <si>
    <t>SABANA DE TORRES</t>
  </si>
  <si>
    <t>SAN BENITO</t>
  </si>
  <si>
    <t>SAN GIL</t>
  </si>
  <si>
    <t>SAN VICENTE DE CHUCURI</t>
  </si>
  <si>
    <t>SOCORRO</t>
  </si>
  <si>
    <t>SUAITA</t>
  </si>
  <si>
    <t>SUCRE</t>
  </si>
  <si>
    <t>SURATA</t>
  </si>
  <si>
    <t>TONA</t>
  </si>
  <si>
    <t>VALLE DE SAN JOSE</t>
  </si>
  <si>
    <t>VELEZ</t>
  </si>
  <si>
    <t>VETAS</t>
  </si>
  <si>
    <t>VILLANUEVA</t>
  </si>
  <si>
    <t>Codigo</t>
  </si>
  <si>
    <t>ARATOCA</t>
  </si>
  <si>
    <t>BARICHARA</t>
  </si>
  <si>
    <t>BETULIA</t>
  </si>
  <si>
    <t>CABRERA</t>
  </si>
  <si>
    <t>CAPITANEJO</t>
  </si>
  <si>
    <t>CARCASI</t>
  </si>
  <si>
    <t>CEPITA</t>
  </si>
  <si>
    <t>CERRITO</t>
  </si>
  <si>
    <t>CHARALA</t>
  </si>
  <si>
    <t>CHIMA</t>
  </si>
  <si>
    <t>CIMITARRA</t>
  </si>
  <si>
    <t>CONCEPCION</t>
  </si>
  <si>
    <t>CONFINES</t>
  </si>
  <si>
    <t>CONTRATACION</t>
  </si>
  <si>
    <t>COROMORO</t>
  </si>
  <si>
    <t>EL GUACAMAYO</t>
  </si>
  <si>
    <t>EL PLAYON</t>
  </si>
  <si>
    <t>ENCINO</t>
  </si>
  <si>
    <t>ENCISO</t>
  </si>
  <si>
    <t>GALAN</t>
  </si>
  <si>
    <t>GAMBITA</t>
  </si>
  <si>
    <t>GUACA</t>
  </si>
  <si>
    <t>GUADALUPE</t>
  </si>
  <si>
    <t>GUAPOTA</t>
  </si>
  <si>
    <t>HATO</t>
  </si>
  <si>
    <t>JORDAN</t>
  </si>
  <si>
    <t>LANDAZURI</t>
  </si>
  <si>
    <t>LOS SANTOS</t>
  </si>
  <si>
    <t>MACARAVITA</t>
  </si>
  <si>
    <t>MALAGA</t>
  </si>
  <si>
    <t>MATANZA</t>
  </si>
  <si>
    <t>MOGOTES</t>
  </si>
  <si>
    <t>MOLAGAVITA</t>
  </si>
  <si>
    <t>OCAMONTE</t>
  </si>
  <si>
    <t>OIBA</t>
  </si>
  <si>
    <t>ONZAGA</t>
  </si>
  <si>
    <t>PALMAR</t>
  </si>
  <si>
    <t>PALMAS DEL SOCORRO</t>
  </si>
  <si>
    <t>PUERTO PARRA</t>
  </si>
  <si>
    <t>SAN ANDRES</t>
  </si>
  <si>
    <t>SAN JOAQUIN</t>
  </si>
  <si>
    <t>SAN JOSE DE MIRANDA</t>
  </si>
  <si>
    <t>SAN MIGUEL</t>
  </si>
  <si>
    <t>SANTA BARBARA</t>
  </si>
  <si>
    <t>SANTA HELENA DEL OPON</t>
  </si>
  <si>
    <t>SIMACOTA</t>
  </si>
  <si>
    <t>ZAPATOCA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</si>
</sst>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1.0"/>
      <color theme="1"/>
      <name val="Arial"/>
    </font>
    <font>
      <b/>
      <sz val="10.0"/>
      <color theme="1"/>
      <name val="Arial"/>
    </font>
    <font>
      <sz val="11.0"/>
      <color theme="1"/>
      <name val="Arial"/>
      <scheme val="minor"/>
    </font>
    <font>
      <color theme="1"/>
      <name val="Arial"/>
      <scheme val="minor"/>
    </font>
    <font>
      <sz val="11.0"/>
      <color theme="1"/>
      <name val="Arial"/>
    </font>
  </fonts>
  <fills count="2">
    <fill>
      <patternFill patternType="none"/>
    </fill>
    <fill>
      <patternFill patternType="lightGray"/>
    </fill>
  </fills>
  <borders count="8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bottom" wrapText="0"/>
    </xf>
    <xf borderId="0" fillId="0" fontId="2" numFmtId="0" xfId="0" applyAlignment="1" applyFont="1">
      <alignment shrinkToFit="0" vertical="bottom" wrapText="0"/>
    </xf>
    <xf borderId="2" fillId="0" fontId="3" numFmtId="0" xfId="0" applyAlignment="1" applyBorder="1" applyFont="1">
      <alignment horizontal="center"/>
    </xf>
    <xf borderId="2" fillId="0" fontId="3" numFmtId="0" xfId="0" applyAlignment="1" applyBorder="1" applyFont="1">
      <alignment horizontal="center" readingOrder="0"/>
    </xf>
    <xf borderId="2" fillId="0" fontId="3" numFmtId="4" xfId="0" applyAlignment="1" applyBorder="1" applyFont="1" applyNumberFormat="1">
      <alignment horizontal="center"/>
    </xf>
    <xf borderId="3" fillId="0" fontId="3" numFmtId="0" xfId="0" applyAlignment="1" applyBorder="1" applyFont="1">
      <alignment horizontal="center"/>
    </xf>
    <xf borderId="3" fillId="0" fontId="3" numFmtId="0" xfId="0" applyAlignment="1" applyBorder="1" applyFont="1">
      <alignment horizontal="center" readingOrder="0"/>
    </xf>
    <xf borderId="3" fillId="0" fontId="3" numFmtId="4" xfId="0" applyAlignment="1" applyBorder="1" applyFont="1" applyNumberFormat="1">
      <alignment horizontal="center"/>
    </xf>
    <xf borderId="4" fillId="0" fontId="3" numFmtId="0" xfId="0" applyAlignment="1" applyBorder="1" applyFont="1">
      <alignment horizontal="center"/>
    </xf>
    <xf borderId="4" fillId="0" fontId="3" numFmtId="0" xfId="0" applyAlignment="1" applyBorder="1" applyFont="1">
      <alignment horizontal="center" readingOrder="0"/>
    </xf>
    <xf borderId="4" fillId="0" fontId="3" numFmtId="4" xfId="0" applyAlignment="1" applyBorder="1" applyFont="1" applyNumberFormat="1">
      <alignment horizontal="center"/>
    </xf>
    <xf borderId="0" fillId="0" fontId="4" numFmtId="0" xfId="0" applyAlignment="1" applyFont="1">
      <alignment readingOrder="0"/>
    </xf>
    <xf borderId="5" fillId="0" fontId="5" numFmtId="3" xfId="0" applyAlignment="1" applyBorder="1" applyFont="1" applyNumberFormat="1">
      <alignment horizontal="center"/>
    </xf>
    <xf borderId="2" fillId="0" fontId="5" numFmtId="0" xfId="0" applyAlignment="1" applyBorder="1" applyFont="1">
      <alignment horizontal="center"/>
    </xf>
    <xf borderId="6" fillId="0" fontId="5" numFmtId="3" xfId="0" applyAlignment="1" applyBorder="1" applyFont="1" applyNumberFormat="1">
      <alignment horizontal="center"/>
    </xf>
    <xf borderId="7" fillId="0" fontId="5" numFmtId="3" xfId="0" applyAlignment="1" applyBorder="1" applyFont="1" applyNumberFormat="1">
      <alignment horizontal="center"/>
    </xf>
    <xf borderId="4" fillId="0" fontId="5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6.38"/>
    <col customWidth="1" min="2" max="2" width="14.5"/>
    <col customWidth="1" min="3" max="3" width="26.88"/>
    <col customWidth="1" min="4" max="4" width="24.5"/>
    <col customWidth="1" min="5" max="5" width="9.13"/>
    <col customWidth="1" min="6" max="6" width="33.75"/>
    <col customWidth="1" min="7" max="26" width="10.0"/>
  </cols>
  <sheetData>
    <row r="1" ht="12.75" customHeight="1">
      <c r="A1" s="1" t="s">
        <v>0</v>
      </c>
      <c r="B1" s="1" t="s">
        <v>1</v>
      </c>
      <c r="C1" s="1" t="s">
        <v>2</v>
      </c>
      <c r="D1" s="1" t="s">
        <v>3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2.75" customHeight="1">
      <c r="A2" s="3" t="s">
        <v>4</v>
      </c>
      <c r="B2" s="4">
        <f>VLOOKUP(C2, hojas!A:B, 2, FALSE)</f>
        <v>68013</v>
      </c>
      <c r="C2" s="3" t="s">
        <v>5</v>
      </c>
      <c r="D2" s="5">
        <v>195.0</v>
      </c>
    </row>
    <row r="3" ht="12.75" customHeight="1">
      <c r="A3" s="6" t="s">
        <v>4</v>
      </c>
      <c r="B3" s="7">
        <f>VLOOKUP(C3, hojas!A:B, 2, FALSE)</f>
        <v>68020</v>
      </c>
      <c r="C3" s="6" t="s">
        <v>6</v>
      </c>
      <c r="D3" s="8">
        <v>105.0</v>
      </c>
    </row>
    <row r="4" ht="12.75" customHeight="1">
      <c r="A4" s="6" t="s">
        <v>4</v>
      </c>
      <c r="B4" s="7">
        <f>VLOOKUP(C4, hojas!A:B, 2, FALSE)</f>
        <v>68077</v>
      </c>
      <c r="C4" s="6" t="s">
        <v>7</v>
      </c>
      <c r="D4" s="8">
        <v>5809.0</v>
      </c>
    </row>
    <row r="5" ht="12.75" customHeight="1">
      <c r="A5" s="6" t="s">
        <v>4</v>
      </c>
      <c r="B5" s="7">
        <f>VLOOKUP(C5, hojas!A:B, 2, FALSE)</f>
        <v>68081</v>
      </c>
      <c r="C5" s="6" t="s">
        <v>8</v>
      </c>
      <c r="D5" s="8">
        <v>50699.0</v>
      </c>
    </row>
    <row r="6" ht="12.75" customHeight="1">
      <c r="A6" s="6" t="s">
        <v>4</v>
      </c>
      <c r="B6" s="7">
        <f>VLOOKUP(C6, hojas!A:B, 2, FALSE)</f>
        <v>68081</v>
      </c>
      <c r="C6" s="6" t="s">
        <v>8</v>
      </c>
      <c r="D6" s="8">
        <v>2521.0</v>
      </c>
    </row>
    <row r="7" ht="12.75" customHeight="1">
      <c r="A7" s="6" t="s">
        <v>4</v>
      </c>
      <c r="B7" s="7">
        <f>VLOOKUP(C7, hojas!A:B, 2, FALSE)</f>
        <v>68101</v>
      </c>
      <c r="C7" s="6" t="s">
        <v>9</v>
      </c>
      <c r="D7" s="8">
        <v>352.0</v>
      </c>
    </row>
    <row r="8" ht="12.75" customHeight="1">
      <c r="A8" s="6" t="s">
        <v>4</v>
      </c>
      <c r="B8" s="7">
        <f>VLOOKUP(C8, hojas!A:B, 2, FALSE)</f>
        <v>68001</v>
      </c>
      <c r="C8" s="6" t="s">
        <v>10</v>
      </c>
      <c r="D8" s="8">
        <v>152048.0</v>
      </c>
    </row>
    <row r="9" ht="12.75" customHeight="1">
      <c r="A9" s="6" t="s">
        <v>4</v>
      </c>
      <c r="B9" s="7">
        <f>VLOOKUP(C9, hojas!A:B, 2, FALSE)</f>
        <v>68132</v>
      </c>
      <c r="C9" s="6" t="s">
        <v>11</v>
      </c>
      <c r="D9" s="8">
        <v>249.0</v>
      </c>
    </row>
    <row r="10" ht="12.75" customHeight="1">
      <c r="A10" s="6" t="s">
        <v>4</v>
      </c>
      <c r="B10" s="7">
        <f>VLOOKUP(C10, hojas!A:B, 2, FALSE)</f>
        <v>68169</v>
      </c>
      <c r="C10" s="6" t="s">
        <v>12</v>
      </c>
      <c r="D10" s="8">
        <v>243.0</v>
      </c>
    </row>
    <row r="11" ht="12.75" customHeight="1">
      <c r="A11" s="6" t="s">
        <v>4</v>
      </c>
      <c r="B11" s="7">
        <f>VLOOKUP(C11, hojas!A:B, 2, FALSE)</f>
        <v>68179</v>
      </c>
      <c r="C11" s="6" t="s">
        <v>13</v>
      </c>
      <c r="D11" s="8">
        <v>356.0</v>
      </c>
    </row>
    <row r="12" ht="12.75" customHeight="1">
      <c r="A12" s="6" t="s">
        <v>4</v>
      </c>
      <c r="B12" s="7">
        <f>VLOOKUP(C12, hojas!A:B, 2, FALSE)</f>
        <v>68229</v>
      </c>
      <c r="C12" s="6" t="s">
        <v>14</v>
      </c>
      <c r="D12" s="8">
        <v>1717.0</v>
      </c>
    </row>
    <row r="13" ht="12.75" customHeight="1">
      <c r="A13" s="6" t="s">
        <v>4</v>
      </c>
      <c r="B13" s="7">
        <f>VLOOKUP(C13, hojas!A:B, 2, FALSE)</f>
        <v>68235</v>
      </c>
      <c r="C13" s="6" t="s">
        <v>15</v>
      </c>
      <c r="D13" s="8">
        <v>740.0</v>
      </c>
    </row>
    <row r="14" ht="12.75" customHeight="1">
      <c r="A14" s="6" t="s">
        <v>4</v>
      </c>
      <c r="B14" s="7">
        <f>VLOOKUP(C14, hojas!A:B, 2, FALSE)</f>
        <v>68250</v>
      </c>
      <c r="C14" s="6" t="s">
        <v>16</v>
      </c>
      <c r="D14" s="8">
        <v>840.0</v>
      </c>
    </row>
    <row r="15" ht="12.75" customHeight="1">
      <c r="A15" s="6" t="s">
        <v>4</v>
      </c>
      <c r="B15" s="7">
        <f>VLOOKUP(C15, hojas!A:B, 2, FALSE)</f>
        <v>68271</v>
      </c>
      <c r="C15" s="6" t="s">
        <v>17</v>
      </c>
      <c r="D15" s="8">
        <v>392.0</v>
      </c>
    </row>
    <row r="16" ht="12.75" customHeight="1">
      <c r="A16" s="6" t="s">
        <v>4</v>
      </c>
      <c r="B16" s="7">
        <f>VLOOKUP(C16, hojas!A:B, 2, FALSE)</f>
        <v>68276</v>
      </c>
      <c r="C16" s="6" t="s">
        <v>18</v>
      </c>
      <c r="D16" s="8">
        <v>4824.0</v>
      </c>
    </row>
    <row r="17" ht="12.75" customHeight="1">
      <c r="A17" s="6" t="s">
        <v>4</v>
      </c>
      <c r="B17" s="7">
        <f>VLOOKUP(C17, hojas!A:B, 2, FALSE)</f>
        <v>68276</v>
      </c>
      <c r="C17" s="6" t="s">
        <v>18</v>
      </c>
      <c r="D17" s="8">
        <v>86372.0</v>
      </c>
    </row>
    <row r="18" ht="12.75" customHeight="1">
      <c r="A18" s="6" t="s">
        <v>4</v>
      </c>
      <c r="B18" s="7">
        <f>VLOOKUP(C18, hojas!A:B, 2, FALSE)</f>
        <v>68307</v>
      </c>
      <c r="C18" s="6" t="s">
        <v>19</v>
      </c>
      <c r="D18" s="8">
        <v>40166.0</v>
      </c>
    </row>
    <row r="19" ht="12.75" customHeight="1">
      <c r="A19" s="6" t="s">
        <v>4</v>
      </c>
      <c r="B19" s="7">
        <f>VLOOKUP(C19, hojas!A:B, 2, FALSE)</f>
        <v>68307</v>
      </c>
      <c r="C19" s="6" t="s">
        <v>19</v>
      </c>
      <c r="D19" s="8">
        <v>1743.0</v>
      </c>
    </row>
    <row r="20" ht="12.75" customHeight="1">
      <c r="A20" s="6" t="s">
        <v>4</v>
      </c>
      <c r="B20" s="7">
        <f>VLOOKUP(C20, hojas!A:B, 2, FALSE)</f>
        <v>68324</v>
      </c>
      <c r="C20" s="6" t="s">
        <v>20</v>
      </c>
      <c r="D20" s="8">
        <v>844.0</v>
      </c>
    </row>
    <row r="21" ht="12.75" customHeight="1">
      <c r="A21" s="6" t="s">
        <v>4</v>
      </c>
      <c r="B21" s="7">
        <f>VLOOKUP(C21, hojas!A:B, 2, FALSE)</f>
        <v>68327</v>
      </c>
      <c r="C21" s="6" t="s">
        <v>21</v>
      </c>
      <c r="D21" s="8">
        <v>1276.0</v>
      </c>
    </row>
    <row r="22" ht="12.75" customHeight="1">
      <c r="A22" s="6" t="s">
        <v>4</v>
      </c>
      <c r="B22" s="7">
        <f>VLOOKUP(C22, hojas!A:B, 2, FALSE)</f>
        <v>68368</v>
      </c>
      <c r="C22" s="6" t="s">
        <v>22</v>
      </c>
      <c r="D22" s="8">
        <v>568.0</v>
      </c>
    </row>
    <row r="23" ht="12.75" customHeight="1">
      <c r="A23" s="6" t="s">
        <v>4</v>
      </c>
      <c r="B23" s="7">
        <f>VLOOKUP(C23, hojas!A:B, 2, FALSE)</f>
        <v>68377</v>
      </c>
      <c r="C23" s="6" t="s">
        <v>23</v>
      </c>
      <c r="D23" s="8">
        <v>489.0</v>
      </c>
    </row>
    <row r="24" ht="12.75" customHeight="1">
      <c r="A24" s="6" t="s">
        <v>4</v>
      </c>
      <c r="B24" s="7">
        <f>VLOOKUP(C24, hojas!A:B, 2, FALSE)</f>
        <v>68397</v>
      </c>
      <c r="C24" s="6" t="s">
        <v>24</v>
      </c>
      <c r="D24" s="8">
        <v>460.0</v>
      </c>
    </row>
    <row r="25" ht="12.75" customHeight="1">
      <c r="A25" s="6" t="s">
        <v>4</v>
      </c>
      <c r="B25" s="7">
        <f>VLOOKUP(C25, hojas!A:B, 2, FALSE)</f>
        <v>68406</v>
      </c>
      <c r="C25" s="6" t="s">
        <v>25</v>
      </c>
      <c r="D25" s="8">
        <v>4952.0</v>
      </c>
    </row>
    <row r="26" ht="12.75" customHeight="1">
      <c r="A26" s="6" t="s">
        <v>4</v>
      </c>
      <c r="B26" s="7">
        <f>VLOOKUP(C26, hojas!A:B, 2, FALSE)</f>
        <v>68533</v>
      </c>
      <c r="C26" s="6" t="s">
        <v>26</v>
      </c>
      <c r="D26" s="8">
        <v>545.0</v>
      </c>
    </row>
    <row r="27" ht="12.75" customHeight="1">
      <c r="A27" s="6" t="s">
        <v>4</v>
      </c>
      <c r="B27" s="7">
        <f>VLOOKUP(C27, hojas!A:B, 2, FALSE)</f>
        <v>68547</v>
      </c>
      <c r="C27" s="6" t="s">
        <v>27</v>
      </c>
      <c r="D27" s="8">
        <v>39745.0</v>
      </c>
    </row>
    <row r="28" ht="12.75" customHeight="1">
      <c r="A28" s="6" t="s">
        <v>4</v>
      </c>
      <c r="B28" s="7">
        <f>VLOOKUP(C28, hojas!A:B, 2, FALSE)</f>
        <v>68547</v>
      </c>
      <c r="C28" s="6" t="s">
        <v>27</v>
      </c>
      <c r="D28" s="8">
        <v>3394.0</v>
      </c>
    </row>
    <row r="29" ht="12.75" customHeight="1">
      <c r="A29" s="6" t="s">
        <v>4</v>
      </c>
      <c r="B29" s="7">
        <f>VLOOKUP(C29, hojas!A:B, 2, FALSE)</f>
        <v>68549</v>
      </c>
      <c r="C29" s="6" t="s">
        <v>28</v>
      </c>
      <c r="D29" s="8">
        <v>426.0</v>
      </c>
    </row>
    <row r="30" ht="12.75" customHeight="1">
      <c r="A30" s="6" t="s">
        <v>4</v>
      </c>
      <c r="B30" s="7">
        <f>VLOOKUP(C30, hojas!A:B, 2, FALSE)</f>
        <v>68572</v>
      </c>
      <c r="C30" s="6" t="s">
        <v>29</v>
      </c>
      <c r="D30" s="8">
        <v>2760.0</v>
      </c>
    </row>
    <row r="31" ht="12.75" customHeight="1">
      <c r="A31" s="6" t="s">
        <v>4</v>
      </c>
      <c r="B31" s="7">
        <f>VLOOKUP(C31, hojas!A:B, 2, FALSE)</f>
        <v>68575</v>
      </c>
      <c r="C31" s="6" t="s">
        <v>30</v>
      </c>
      <c r="D31" s="8">
        <v>6811.0</v>
      </c>
    </row>
    <row r="32" ht="12.75" customHeight="1">
      <c r="A32" s="6" t="s">
        <v>4</v>
      </c>
      <c r="B32" s="7">
        <f>VLOOKUP(C32, hojas!A:B, 2, FALSE)</f>
        <v>68575</v>
      </c>
      <c r="C32" s="6" t="s">
        <v>30</v>
      </c>
      <c r="D32" s="8">
        <v>64.0</v>
      </c>
    </row>
    <row r="33" ht="12.75" customHeight="1">
      <c r="A33" s="6" t="s">
        <v>4</v>
      </c>
      <c r="B33" s="7">
        <f>VLOOKUP(C33, hojas!A:B, 2, FALSE)</f>
        <v>68575</v>
      </c>
      <c r="C33" s="6" t="s">
        <v>30</v>
      </c>
      <c r="D33" s="8">
        <v>1.0</v>
      </c>
    </row>
    <row r="34" ht="12.75" customHeight="1">
      <c r="A34" s="6" t="s">
        <v>4</v>
      </c>
      <c r="B34" s="7">
        <f>VLOOKUP(C34, hojas!A:B, 2, FALSE)</f>
        <v>68615</v>
      </c>
      <c r="C34" s="6" t="s">
        <v>31</v>
      </c>
      <c r="D34" s="8">
        <v>1481.0</v>
      </c>
    </row>
    <row r="35" ht="12.75" customHeight="1">
      <c r="A35" s="6" t="s">
        <v>4</v>
      </c>
      <c r="B35" s="7">
        <f>VLOOKUP(C35, hojas!A:B, 2, FALSE)</f>
        <v>68655</v>
      </c>
      <c r="C35" s="6" t="s">
        <v>32</v>
      </c>
      <c r="D35" s="8">
        <v>5606.0</v>
      </c>
    </row>
    <row r="36" ht="12.75" customHeight="1">
      <c r="A36" s="6" t="s">
        <v>4</v>
      </c>
      <c r="B36" s="7">
        <f>VLOOKUP(C36, hojas!A:B, 2, FALSE)</f>
        <v>68673</v>
      </c>
      <c r="C36" s="6" t="s">
        <v>33</v>
      </c>
      <c r="D36" s="8">
        <v>438.0</v>
      </c>
    </row>
    <row r="37" ht="12.75" customHeight="1">
      <c r="A37" s="6" t="s">
        <v>4</v>
      </c>
      <c r="B37" s="7">
        <f>VLOOKUP(C37, hojas!A:B, 2, FALSE)</f>
        <v>68679</v>
      </c>
      <c r="C37" s="6" t="s">
        <v>34</v>
      </c>
      <c r="D37" s="8">
        <v>4541.0</v>
      </c>
    </row>
    <row r="38" ht="12.75" customHeight="1">
      <c r="A38" s="6" t="s">
        <v>4</v>
      </c>
      <c r="B38" s="7">
        <f>VLOOKUP(C38, hojas!A:B, 2, FALSE)</f>
        <v>68689</v>
      </c>
      <c r="C38" s="6" t="s">
        <v>35</v>
      </c>
      <c r="D38" s="8">
        <v>4180.0</v>
      </c>
    </row>
    <row r="39" ht="12.75" customHeight="1">
      <c r="A39" s="6" t="s">
        <v>4</v>
      </c>
      <c r="B39" s="7">
        <f>VLOOKUP(C39, hojas!A:B, 2, FALSE)</f>
        <v>68755</v>
      </c>
      <c r="C39" s="6" t="s">
        <v>36</v>
      </c>
      <c r="D39" s="8">
        <v>3428.0</v>
      </c>
    </row>
    <row r="40" ht="12.75" customHeight="1">
      <c r="A40" s="6" t="s">
        <v>4</v>
      </c>
      <c r="B40" s="7">
        <f>VLOOKUP(C40, hojas!A:B, 2, FALSE)</f>
        <v>68770</v>
      </c>
      <c r="C40" s="6" t="s">
        <v>37</v>
      </c>
      <c r="D40" s="8">
        <v>1030.0</v>
      </c>
    </row>
    <row r="41" ht="12.75" customHeight="1">
      <c r="A41" s="6" t="s">
        <v>4</v>
      </c>
      <c r="B41" s="7">
        <f>VLOOKUP(C41, hojas!A:B, 2, FALSE)</f>
        <v>68773</v>
      </c>
      <c r="C41" s="6" t="s">
        <v>38</v>
      </c>
      <c r="D41" s="8">
        <v>218.0</v>
      </c>
    </row>
    <row r="42" ht="12.75" customHeight="1">
      <c r="A42" s="6" t="s">
        <v>4</v>
      </c>
      <c r="B42" s="7">
        <f>VLOOKUP(C42, hojas!A:B, 2, FALSE)</f>
        <v>68780</v>
      </c>
      <c r="C42" s="6" t="s">
        <v>39</v>
      </c>
      <c r="D42" s="8">
        <v>143.0</v>
      </c>
    </row>
    <row r="43" ht="12.75" customHeight="1">
      <c r="A43" s="6" t="s">
        <v>4</v>
      </c>
      <c r="B43" s="7">
        <f>VLOOKUP(C43, hojas!A:B, 2, FALSE)</f>
        <v>68820</v>
      </c>
      <c r="C43" s="6" t="s">
        <v>40</v>
      </c>
      <c r="D43" s="8">
        <v>473.0</v>
      </c>
    </row>
    <row r="44" ht="12.75" customHeight="1">
      <c r="A44" s="6" t="s">
        <v>4</v>
      </c>
      <c r="B44" s="7">
        <f>VLOOKUP(C44, hojas!A:B, 2, FALSE)</f>
        <v>68855</v>
      </c>
      <c r="C44" s="6" t="s">
        <v>41</v>
      </c>
      <c r="D44" s="8">
        <v>413.0</v>
      </c>
    </row>
    <row r="45" ht="12.75" customHeight="1">
      <c r="A45" s="6" t="s">
        <v>4</v>
      </c>
      <c r="B45" s="7">
        <f>VLOOKUP(C45, hojas!A:B, 2, FALSE)</f>
        <v>68861</v>
      </c>
      <c r="C45" s="6" t="s">
        <v>42</v>
      </c>
      <c r="D45" s="8">
        <v>3064.0</v>
      </c>
    </row>
    <row r="46" ht="12.75" customHeight="1">
      <c r="A46" s="6" t="s">
        <v>4</v>
      </c>
      <c r="B46" s="7">
        <f>VLOOKUP(C46, hojas!A:B, 2, FALSE)</f>
        <v>68867</v>
      </c>
      <c r="C46" s="6" t="s">
        <v>43</v>
      </c>
      <c r="D46" s="8">
        <v>300.0</v>
      </c>
    </row>
    <row r="47" ht="12.75" customHeight="1">
      <c r="A47" s="9" t="s">
        <v>4</v>
      </c>
      <c r="B47" s="10">
        <f>VLOOKUP(C47, hojas!A:B, 2, FALSE)</f>
        <v>68872</v>
      </c>
      <c r="C47" s="9" t="s">
        <v>44</v>
      </c>
      <c r="D47" s="11">
        <v>968.0</v>
      </c>
    </row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12" t="s">
        <v>2</v>
      </c>
      <c r="B1" s="12" t="s">
        <v>45</v>
      </c>
    </row>
    <row r="2">
      <c r="A2" s="13" t="s">
        <v>5</v>
      </c>
      <c r="B2" s="14">
        <v>68013.0</v>
      </c>
    </row>
    <row r="3">
      <c r="A3" s="15" t="s">
        <v>6</v>
      </c>
      <c r="B3" s="14">
        <v>68020.0</v>
      </c>
    </row>
    <row r="4">
      <c r="A4" s="15" t="s">
        <v>46</v>
      </c>
      <c r="B4" s="14">
        <v>68051.0</v>
      </c>
    </row>
    <row r="5">
      <c r="A5" s="15" t="s">
        <v>7</v>
      </c>
      <c r="B5" s="14">
        <v>68077.0</v>
      </c>
    </row>
    <row r="6">
      <c r="A6" s="15" t="s">
        <v>47</v>
      </c>
      <c r="B6" s="14">
        <v>68079.0</v>
      </c>
    </row>
    <row r="7">
      <c r="A7" s="15" t="s">
        <v>8</v>
      </c>
      <c r="B7" s="14">
        <v>68081.0</v>
      </c>
    </row>
    <row r="8">
      <c r="A8" s="15" t="s">
        <v>48</v>
      </c>
      <c r="B8" s="14">
        <v>68092.0</v>
      </c>
    </row>
    <row r="9">
      <c r="A9" s="15" t="s">
        <v>9</v>
      </c>
      <c r="B9" s="14">
        <v>68101.0</v>
      </c>
    </row>
    <row r="10">
      <c r="A10" s="15" t="s">
        <v>10</v>
      </c>
      <c r="B10" s="14">
        <v>68001.0</v>
      </c>
    </row>
    <row r="11">
      <c r="A11" s="15" t="s">
        <v>49</v>
      </c>
      <c r="B11" s="14">
        <v>68121.0</v>
      </c>
    </row>
    <row r="12">
      <c r="A12" s="15" t="s">
        <v>11</v>
      </c>
      <c r="B12" s="14">
        <v>68132.0</v>
      </c>
    </row>
    <row r="13">
      <c r="A13" s="15" t="s">
        <v>50</v>
      </c>
      <c r="B13" s="14">
        <v>68147.0</v>
      </c>
    </row>
    <row r="14">
      <c r="A14" s="15" t="s">
        <v>51</v>
      </c>
      <c r="B14" s="14">
        <v>68152.0</v>
      </c>
    </row>
    <row r="15">
      <c r="A15" s="15" t="s">
        <v>52</v>
      </c>
      <c r="B15" s="14">
        <v>68160.0</v>
      </c>
    </row>
    <row r="16">
      <c r="A16" s="15" t="s">
        <v>53</v>
      </c>
      <c r="B16" s="14">
        <v>68162.0</v>
      </c>
    </row>
    <row r="17">
      <c r="A17" s="15" t="s">
        <v>54</v>
      </c>
      <c r="B17" s="14">
        <v>68167.0</v>
      </c>
    </row>
    <row r="18">
      <c r="A18" s="15" t="s">
        <v>12</v>
      </c>
      <c r="B18" s="14">
        <v>68169.0</v>
      </c>
    </row>
    <row r="19">
      <c r="A19" s="15" t="s">
        <v>55</v>
      </c>
      <c r="B19" s="14">
        <v>68176.0</v>
      </c>
    </row>
    <row r="20">
      <c r="A20" s="15" t="s">
        <v>13</v>
      </c>
      <c r="B20" s="14">
        <v>68179.0</v>
      </c>
    </row>
    <row r="21">
      <c r="A21" s="15" t="s">
        <v>56</v>
      </c>
      <c r="B21" s="14">
        <v>68190.0</v>
      </c>
    </row>
    <row r="22">
      <c r="A22" s="15" t="s">
        <v>57</v>
      </c>
      <c r="B22" s="14">
        <v>68207.0</v>
      </c>
    </row>
    <row r="23">
      <c r="A23" s="15" t="s">
        <v>58</v>
      </c>
      <c r="B23" s="14">
        <v>68209.0</v>
      </c>
    </row>
    <row r="24">
      <c r="A24" s="15" t="s">
        <v>59</v>
      </c>
      <c r="B24" s="14">
        <v>68211.0</v>
      </c>
    </row>
    <row r="25">
      <c r="A25" s="15" t="s">
        <v>60</v>
      </c>
      <c r="B25" s="14">
        <v>68217.0</v>
      </c>
    </row>
    <row r="26">
      <c r="A26" s="15" t="s">
        <v>14</v>
      </c>
      <c r="B26" s="14">
        <v>68229.0</v>
      </c>
    </row>
    <row r="27">
      <c r="A27" s="15" t="s">
        <v>15</v>
      </c>
      <c r="B27" s="14">
        <v>68235.0</v>
      </c>
    </row>
    <row r="28">
      <c r="A28" s="15" t="s">
        <v>61</v>
      </c>
      <c r="B28" s="14">
        <v>68245.0</v>
      </c>
    </row>
    <row r="29">
      <c r="A29" s="15" t="s">
        <v>16</v>
      </c>
      <c r="B29" s="14">
        <v>68250.0</v>
      </c>
    </row>
    <row r="30">
      <c r="A30" s="15" t="s">
        <v>62</v>
      </c>
      <c r="B30" s="14">
        <v>68255.0</v>
      </c>
    </row>
    <row r="31">
      <c r="A31" s="15" t="s">
        <v>63</v>
      </c>
      <c r="B31" s="14">
        <v>68264.0</v>
      </c>
    </row>
    <row r="32">
      <c r="A32" s="15" t="s">
        <v>64</v>
      </c>
      <c r="B32" s="14">
        <v>68266.0</v>
      </c>
    </row>
    <row r="33">
      <c r="A33" s="15" t="s">
        <v>17</v>
      </c>
      <c r="B33" s="14">
        <v>68271.0</v>
      </c>
    </row>
    <row r="34">
      <c r="A34" s="15" t="s">
        <v>18</v>
      </c>
      <c r="B34" s="14">
        <v>68276.0</v>
      </c>
    </row>
    <row r="35">
      <c r="A35" s="15" t="s">
        <v>65</v>
      </c>
      <c r="B35" s="14">
        <v>68296.0</v>
      </c>
    </row>
    <row r="36">
      <c r="A36" s="15" t="s">
        <v>66</v>
      </c>
      <c r="B36" s="14">
        <v>68298.0</v>
      </c>
    </row>
    <row r="37">
      <c r="A37" s="15" t="s">
        <v>19</v>
      </c>
      <c r="B37" s="14">
        <v>68307.0</v>
      </c>
    </row>
    <row r="38">
      <c r="A38" s="15" t="s">
        <v>67</v>
      </c>
      <c r="B38" s="14">
        <v>68318.0</v>
      </c>
    </row>
    <row r="39">
      <c r="A39" s="15" t="s">
        <v>68</v>
      </c>
      <c r="B39" s="14">
        <v>68320.0</v>
      </c>
    </row>
    <row r="40">
      <c r="A40" s="15" t="s">
        <v>69</v>
      </c>
      <c r="B40" s="14">
        <v>68322.0</v>
      </c>
    </row>
    <row r="41">
      <c r="A41" s="15" t="s">
        <v>20</v>
      </c>
      <c r="B41" s="14">
        <v>68324.0</v>
      </c>
    </row>
    <row r="42">
      <c r="A42" s="15" t="s">
        <v>21</v>
      </c>
      <c r="B42" s="14">
        <v>68327.0</v>
      </c>
    </row>
    <row r="43">
      <c r="A43" s="15" t="s">
        <v>70</v>
      </c>
      <c r="B43" s="14">
        <v>68344.0</v>
      </c>
    </row>
    <row r="44">
      <c r="A44" s="15" t="s">
        <v>22</v>
      </c>
      <c r="B44" s="14">
        <v>68368.0</v>
      </c>
    </row>
    <row r="45">
      <c r="A45" s="15" t="s">
        <v>71</v>
      </c>
      <c r="B45" s="14">
        <v>68370.0</v>
      </c>
    </row>
    <row r="46">
      <c r="A46" s="15" t="s">
        <v>23</v>
      </c>
      <c r="B46" s="14">
        <v>68377.0</v>
      </c>
    </row>
    <row r="47">
      <c r="A47" s="15" t="s">
        <v>24</v>
      </c>
      <c r="B47" s="14">
        <v>68397.0</v>
      </c>
    </row>
    <row r="48">
      <c r="A48" s="15" t="s">
        <v>72</v>
      </c>
      <c r="B48" s="14">
        <v>68385.0</v>
      </c>
    </row>
    <row r="49">
      <c r="A49" s="15" t="s">
        <v>25</v>
      </c>
      <c r="B49" s="14">
        <v>68406.0</v>
      </c>
    </row>
    <row r="50">
      <c r="A50" s="15" t="s">
        <v>73</v>
      </c>
      <c r="B50" s="14">
        <v>68418.0</v>
      </c>
    </row>
    <row r="51">
      <c r="A51" s="15" t="s">
        <v>74</v>
      </c>
      <c r="B51" s="14">
        <v>68425.0</v>
      </c>
    </row>
    <row r="52">
      <c r="A52" s="15" t="s">
        <v>75</v>
      </c>
      <c r="B52" s="14">
        <v>68432.0</v>
      </c>
    </row>
    <row r="53">
      <c r="A53" s="15" t="s">
        <v>76</v>
      </c>
      <c r="B53" s="14">
        <v>68444.0</v>
      </c>
    </row>
    <row r="54">
      <c r="A54" s="15" t="s">
        <v>77</v>
      </c>
      <c r="B54" s="14">
        <v>68464.0</v>
      </c>
    </row>
    <row r="55">
      <c r="A55" s="15" t="s">
        <v>78</v>
      </c>
      <c r="B55" s="14">
        <v>68468.0</v>
      </c>
    </row>
    <row r="56">
      <c r="A56" s="15" t="s">
        <v>79</v>
      </c>
      <c r="B56" s="14">
        <v>68498.0</v>
      </c>
    </row>
    <row r="57">
      <c r="A57" s="15" t="s">
        <v>80</v>
      </c>
      <c r="B57" s="14">
        <v>68500.0</v>
      </c>
    </row>
    <row r="58">
      <c r="A58" s="15" t="s">
        <v>81</v>
      </c>
      <c r="B58" s="14">
        <v>68502.0</v>
      </c>
    </row>
    <row r="59">
      <c r="A59" s="15" t="s">
        <v>82</v>
      </c>
      <c r="B59" s="14">
        <v>68522.0</v>
      </c>
    </row>
    <row r="60">
      <c r="A60" s="15" t="s">
        <v>83</v>
      </c>
      <c r="B60" s="14">
        <v>68524.0</v>
      </c>
    </row>
    <row r="61">
      <c r="A61" s="15" t="s">
        <v>26</v>
      </c>
      <c r="B61" s="14">
        <v>68533.0</v>
      </c>
    </row>
    <row r="62">
      <c r="A62" s="15" t="s">
        <v>27</v>
      </c>
      <c r="B62" s="14">
        <v>68547.0</v>
      </c>
    </row>
    <row r="63">
      <c r="A63" s="15" t="s">
        <v>28</v>
      </c>
      <c r="B63" s="14">
        <v>68549.0</v>
      </c>
    </row>
    <row r="64">
      <c r="A64" s="15" t="s">
        <v>29</v>
      </c>
      <c r="B64" s="14">
        <v>68572.0</v>
      </c>
    </row>
    <row r="65">
      <c r="A65" s="15" t="s">
        <v>84</v>
      </c>
      <c r="B65" s="14">
        <v>68573.0</v>
      </c>
    </row>
    <row r="66">
      <c r="A66" s="15" t="s">
        <v>30</v>
      </c>
      <c r="B66" s="14">
        <v>68575.0</v>
      </c>
    </row>
    <row r="67">
      <c r="A67" s="15" t="s">
        <v>31</v>
      </c>
      <c r="B67" s="14">
        <v>68615.0</v>
      </c>
    </row>
    <row r="68">
      <c r="A68" s="15" t="s">
        <v>32</v>
      </c>
      <c r="B68" s="14">
        <v>68655.0</v>
      </c>
    </row>
    <row r="69">
      <c r="A69" s="15" t="s">
        <v>85</v>
      </c>
      <c r="B69" s="14">
        <v>68669.0</v>
      </c>
    </row>
    <row r="70">
      <c r="A70" s="15" t="s">
        <v>33</v>
      </c>
      <c r="B70" s="14">
        <v>68673.0</v>
      </c>
    </row>
    <row r="71">
      <c r="A71" s="15" t="s">
        <v>34</v>
      </c>
      <c r="B71" s="14">
        <v>68679.0</v>
      </c>
    </row>
    <row r="72">
      <c r="A72" s="15" t="s">
        <v>86</v>
      </c>
      <c r="B72" s="14">
        <v>68682.0</v>
      </c>
    </row>
    <row r="73">
      <c r="A73" s="15" t="s">
        <v>87</v>
      </c>
      <c r="B73" s="14">
        <v>68684.0</v>
      </c>
    </row>
    <row r="74">
      <c r="A74" s="15" t="s">
        <v>88</v>
      </c>
      <c r="B74" s="14">
        <v>68686.0</v>
      </c>
    </row>
    <row r="75">
      <c r="A75" s="15" t="s">
        <v>35</v>
      </c>
      <c r="B75" s="14">
        <v>68689.0</v>
      </c>
    </row>
    <row r="76">
      <c r="A76" s="15" t="s">
        <v>89</v>
      </c>
      <c r="B76" s="14">
        <v>68705.0</v>
      </c>
    </row>
    <row r="77">
      <c r="A77" s="15" t="s">
        <v>90</v>
      </c>
      <c r="B77" s="14">
        <v>68720.0</v>
      </c>
    </row>
    <row r="78">
      <c r="A78" s="15" t="s">
        <v>91</v>
      </c>
      <c r="B78" s="14">
        <v>68745.0</v>
      </c>
    </row>
    <row r="79">
      <c r="A79" s="15" t="s">
        <v>36</v>
      </c>
      <c r="B79" s="14">
        <v>68755.0</v>
      </c>
    </row>
    <row r="80">
      <c r="A80" s="15" t="s">
        <v>37</v>
      </c>
      <c r="B80" s="14">
        <v>68770.0</v>
      </c>
    </row>
    <row r="81">
      <c r="A81" s="15" t="s">
        <v>38</v>
      </c>
      <c r="B81" s="14">
        <v>68773.0</v>
      </c>
    </row>
    <row r="82">
      <c r="A82" s="15" t="s">
        <v>39</v>
      </c>
      <c r="B82" s="14">
        <v>68780.0</v>
      </c>
    </row>
    <row r="83">
      <c r="A83" s="15" t="s">
        <v>40</v>
      </c>
      <c r="B83" s="14">
        <v>68820.0</v>
      </c>
    </row>
    <row r="84">
      <c r="A84" s="15" t="s">
        <v>41</v>
      </c>
      <c r="B84" s="14">
        <v>68855.0</v>
      </c>
    </row>
    <row r="85">
      <c r="A85" s="15" t="s">
        <v>42</v>
      </c>
      <c r="B85" s="14">
        <v>68861.0</v>
      </c>
    </row>
    <row r="86">
      <c r="A86" s="15" t="s">
        <v>43</v>
      </c>
      <c r="B86" s="14">
        <v>68867.0</v>
      </c>
    </row>
    <row r="87">
      <c r="A87" s="15" t="s">
        <v>44</v>
      </c>
      <c r="B87" s="14">
        <v>68872.0</v>
      </c>
    </row>
    <row r="88">
      <c r="A88" s="16" t="s">
        <v>92</v>
      </c>
      <c r="B88" s="17">
        <v>68895.0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2025-11-24T16:35:50Z</dcterms:created>
  <dc:creator>Danna Cardenas</dc:creator>
</cp:coreProperties>
</file>